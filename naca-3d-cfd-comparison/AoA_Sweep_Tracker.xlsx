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ish\Downloads\"/>
    </mc:Choice>
  </mc:AlternateContent>
  <xr:revisionPtr revIDLastSave="0" documentId="13_ncr:1_{B9FD76AF-74CA-4C63-B3E2-AC65135E3D65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NACA 0012" sheetId="1" r:id="rId1"/>
    <sheet name="NACA 2412" sheetId="2" r:id="rId2"/>
    <sheet name="Summary Cha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1" l="1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J11" i="2"/>
  <c r="J10" i="2"/>
  <c r="J9" i="2"/>
  <c r="J8" i="2"/>
  <c r="J7" i="2"/>
  <c r="J6" i="2"/>
  <c r="J5" i="2"/>
  <c r="J4" i="2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<sst xmlns="http://schemas.openxmlformats.org/spreadsheetml/2006/main" count="30" uniqueCount="18">
  <si>
    <t>NACA 0012 — AoA Sweep Tracker (V = 60 m/s, chord = 0.25 m, half-span area = 0.075 m²)</t>
  </si>
  <si>
    <t>AoA (deg)</t>
  </si>
  <si>
    <t>Vx (m/s)</t>
  </si>
  <si>
    <t>Vy (m/s)</t>
  </si>
  <si>
    <t>Lift dir X</t>
  </si>
  <si>
    <t>Lift dir Y</t>
  </si>
  <si>
    <t>Drag dir X</t>
  </si>
  <si>
    <t>Drag dir Y</t>
  </si>
  <si>
    <t>Cl (theory)</t>
  </si>
  <si>
    <t>Cl (CFD)</t>
  </si>
  <si>
    <t>Cl % diff</t>
  </si>
  <si>
    <t>Cd (CFD)</t>
  </si>
  <si>
    <t>NACA 2412 — AoA Sweep Tracker (V = 60 m/s, chord = 0.25 m, half-span area = 0.075 m²)</t>
  </si>
  <si>
    <t>Cl vs Angle of Attack — comparison</t>
  </si>
  <si>
    <t>NACA 0012 Cl (CFD)</t>
  </si>
  <si>
    <t>NACA 0012 Cl (theory)</t>
  </si>
  <si>
    <t>NACA 2412 Cl (CFD)</t>
  </si>
  <si>
    <t>NACA 2412 Cl (theory)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</si>
</sst>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ptos SemiBold"/>
      <family val="2"/>
    </font>
    <font>
      <sz val="11"/>
      <color theme="1"/>
      <name val="Aptos SemiBold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4" fillId="3" borderId="1" xfId="0" applyFont="1" applyFill="1" applyBorder="1"/>
    <xf numFmtId="0" fontId="5" fillId="4" borderId="0" xfId="0" applyFont="1" applyFill="1"/>
    <xf numFmtId="164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Cl vs Angle of Attack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Chart'!$B$4</c:f>
              <c:strCache>
                <c:ptCount val="1"/>
                <c:pt idx="0">
                  <c:v>NACA 0012 Cl (CFD)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Chart'!$A$5:$A$12</c:f>
              <c:numCache>
                <c:formatCode>General</c:formatCode>
                <c:ptCount val="8"/>
                <c:pt idx="0">
                  <c:v>-4</c:v>
                </c:pt>
                <c:pt idx="1">
                  <c:v>-2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'Summary Chart'!$B$5:$B$12</c:f>
              <c:numCache>
                <c:formatCode>General</c:formatCode>
                <c:ptCount val="8"/>
                <c:pt idx="0">
                  <c:v>-0.20599999999999999</c:v>
                </c:pt>
                <c:pt idx="1">
                  <c:v>-0.1</c:v>
                </c:pt>
                <c:pt idx="2">
                  <c:v>0</c:v>
                </c:pt>
                <c:pt idx="3">
                  <c:v>9.7000000000000003E-2</c:v>
                </c:pt>
                <c:pt idx="4">
                  <c:v>0.25</c:v>
                </c:pt>
                <c:pt idx="5">
                  <c:v>0.39400000000000002</c:v>
                </c:pt>
                <c:pt idx="6">
                  <c:v>0.51</c:v>
                </c:pt>
                <c:pt idx="7">
                  <c:v>0.59699999999999998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EA-4F10-81F0-1C6B8EE2400C}"/>
            </c:ext>
          </c:extLst>
        </c:ser>
        <c:ser>
          <c:idx val="1"/>
          <c:order val="1"/>
          <c:tx>
            <c:strRef>
              <c:f>'Summary Chart'!$C$4</c:f>
              <c:strCache>
                <c:ptCount val="1"/>
                <c:pt idx="0">
                  <c:v>NACA 0012 Cl (theory)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Chart'!$A$5:$A$12</c:f>
              <c:numCache>
                <c:formatCode>General</c:formatCode>
                <c:ptCount val="8"/>
                <c:pt idx="0">
                  <c:v>-4</c:v>
                </c:pt>
                <c:pt idx="1">
                  <c:v>-2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'Summary Chart'!$C$5:$C$12</c:f>
              <c:numCache>
                <c:formatCode>General</c:formatCode>
                <c:ptCount val="8"/>
                <c:pt idx="0">
                  <c:v>-0.24199999999999999</c:v>
                </c:pt>
                <c:pt idx="1">
                  <c:v>-0.121</c:v>
                </c:pt>
                <c:pt idx="2">
                  <c:v>0</c:v>
                </c:pt>
                <c:pt idx="3">
                  <c:v>0.121</c:v>
                </c:pt>
                <c:pt idx="4">
                  <c:v>0.30299999999999999</c:v>
                </c:pt>
                <c:pt idx="5">
                  <c:v>0.48399999999999999</c:v>
                </c:pt>
                <c:pt idx="6">
                  <c:v>0.60499999999999998</c:v>
                </c:pt>
                <c:pt idx="7">
                  <c:v>0.72599999999999998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EA-4F10-81F0-1C6B8EE2400C}"/>
            </c:ext>
          </c:extLst>
        </c:ser>
        <c:ser>
          <c:idx val="2"/>
          <c:order val="2"/>
          <c:tx>
            <c:strRef>
              <c:f>'Summary Chart'!$D$4</c:f>
              <c:strCache>
                <c:ptCount val="1"/>
                <c:pt idx="0">
                  <c:v>NACA 2412 Cl (CFD)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Chart'!$A$5:$A$12</c:f>
              <c:numCache>
                <c:formatCode>General</c:formatCode>
                <c:ptCount val="8"/>
                <c:pt idx="0">
                  <c:v>-4</c:v>
                </c:pt>
                <c:pt idx="1">
                  <c:v>-2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'Summary Chart'!$D$5:$D$12</c:f>
              <c:numCache>
                <c:formatCode>General</c:formatCode>
                <c:ptCount val="8"/>
                <c:pt idx="0">
                  <c:v>-0.10299999999999999</c:v>
                </c:pt>
                <c:pt idx="1">
                  <c:v>0</c:v>
                </c:pt>
                <c:pt idx="2">
                  <c:v>0.105</c:v>
                </c:pt>
                <c:pt idx="3">
                  <c:v>0.221</c:v>
                </c:pt>
                <c:pt idx="4">
                  <c:v>0.56000000000000005</c:v>
                </c:pt>
                <c:pt idx="5">
                  <c:v>0.51500000000000001</c:v>
                </c:pt>
                <c:pt idx="6">
                  <c:v>0.6</c:v>
                </c:pt>
                <c:pt idx="7">
                  <c:v>0.72599999999999998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EA-4F10-81F0-1C6B8EE2400C}"/>
            </c:ext>
          </c:extLst>
        </c:ser>
        <c:ser>
          <c:idx val="3"/>
          <c:order val="3"/>
          <c:tx>
            <c:strRef>
              <c:f>'Summary Chart'!$E$4</c:f>
              <c:strCache>
                <c:ptCount val="1"/>
                <c:pt idx="0">
                  <c:v>NACA 2412 Cl (theory)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'Summary Chart'!$A$5:$A$12</c:f>
              <c:numCache>
                <c:formatCode>General</c:formatCode>
                <c:ptCount val="8"/>
                <c:pt idx="0">
                  <c:v>-4</c:v>
                </c:pt>
                <c:pt idx="1">
                  <c:v>-2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'Summary Chart'!$E$5:$E$12</c:f>
              <c:numCache>
                <c:formatCode>General</c:formatCode>
                <c:ptCount val="8"/>
                <c:pt idx="0">
                  <c:v>-5.8000000000000003E-2</c:v>
                </c:pt>
                <c:pt idx="1">
                  <c:v>0.02</c:v>
                </c:pt>
                <c:pt idx="2">
                  <c:v>0.13400000000000001</c:v>
                </c:pt>
                <c:pt idx="3">
                  <c:v>0.248</c:v>
                </c:pt>
                <c:pt idx="4">
                  <c:v>0.42</c:v>
                </c:pt>
                <c:pt idx="5">
                  <c:v>0.59099999999999997</c:v>
                </c:pt>
                <c:pt idx="6">
                  <c:v>0.70599999999999996</c:v>
                </c:pt>
                <c:pt idx="7">
                  <c:v>0.82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3EA-4F10-81F0-1C6B8EE2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1">
                  <a:lumMod val="50000"/>
                  <a:lumOff val="50000"/>
                </a:schemeClr>
              </a:solidFill>
              <a:prstDash val="dash"/>
            </a:ln>
            <a:effectLst/>
          </c:spPr>
        </c:hiLowLines>
        <c:smooth val="0"/>
        <c:axId val="67443988"/>
        <c:axId val="10191181"/>
      </c:lineChart>
      <c:catAx>
        <c:axId val="67443988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AoA (degrees)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181"/>
        <c:crosses val="autoZero"/>
        <c:auto val="1"/>
        <c:lblAlgn val="ctr"/>
        <c:lblOffset val="100"/>
        <c:noMultiLvlLbl val="0"/>
      </c:catAx>
      <c:valAx>
        <c:axId val="101911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3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563880</xdr:colOff>
      <xdr:row>0</xdr:row>
      <xdr:rowOff>900</xdr:rowOff>
    </xdr:from>
    <xdr:to>
      <xdr:col>17</xdr:col>
      <xdr:colOff>436800</xdr:colOff>
      <xdr:row>22</xdr:row>
      <xdr:rowOff>45660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zoomScaleNormal="100" workbookViewId="0">
      <selection activeCell="A13" sqref="A13:XFD13"/>
    </sheetView>
  </sheetViews>
  <sheetFormatPr defaultColWidth="8.6640625" defaultRowHeight="14.4" x14ac:dyDescent="0.3"/>
  <cols>
    <col min="1" max="7" width="10" customWidth="1"/>
    <col min="8" max="9" width="11" customWidth="1"/>
    <col min="10" max="10" width="10" customWidth="1"/>
    <col min="11" max="11" width="11" customWidth="1"/>
  </cols>
  <sheetData>
    <row r="1" spans="1:11" ht="24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x14ac:dyDescent="0.3">
      <c r="A4" s="8">
        <v>-4</v>
      </c>
      <c r="B4" s="8">
        <v>59.853999999999999</v>
      </c>
      <c r="C4" s="8">
        <v>-4.1870000000000003</v>
      </c>
      <c r="D4" s="8">
        <v>6.9800000000000001E-2</v>
      </c>
      <c r="E4" s="8">
        <v>0.99760000000000004</v>
      </c>
      <c r="F4" s="8">
        <v>0.99760000000000004</v>
      </c>
      <c r="G4" s="8">
        <v>-6.9800000000000001E-2</v>
      </c>
      <c r="H4" s="8">
        <v>-0.24199999999999999</v>
      </c>
      <c r="I4" s="8">
        <v>-0.20599999999999999</v>
      </c>
      <c r="J4" s="9">
        <f t="shared" ref="J4:J11" si="0">IF(I4="","",(I4-H4)/H4)</f>
        <v>-0.14876033057851243</v>
      </c>
      <c r="K4" s="10">
        <v>1.7999999999999999E-2</v>
      </c>
    </row>
    <row r="5" spans="1:11" x14ac:dyDescent="0.3">
      <c r="A5" s="8">
        <v>-2</v>
      </c>
      <c r="B5" s="8">
        <v>59.963000000000001</v>
      </c>
      <c r="C5" s="8">
        <v>-2.0939999999999999</v>
      </c>
      <c r="D5" s="8">
        <v>3.49E-2</v>
      </c>
      <c r="E5" s="8">
        <v>0.99939999999999996</v>
      </c>
      <c r="F5" s="8">
        <v>0.99939999999999996</v>
      </c>
      <c r="G5" s="8">
        <v>-3.49E-2</v>
      </c>
      <c r="H5" s="8">
        <v>-0.121</v>
      </c>
      <c r="I5" s="10">
        <v>-0.1</v>
      </c>
      <c r="J5" s="9">
        <f t="shared" si="0"/>
        <v>-0.17355371900826438</v>
      </c>
      <c r="K5" s="11">
        <v>1.4999999999999999E-2</v>
      </c>
    </row>
    <row r="6" spans="1:11" x14ac:dyDescent="0.3">
      <c r="A6" s="8">
        <v>0</v>
      </c>
      <c r="B6" s="8">
        <v>60</v>
      </c>
      <c r="C6" s="8">
        <v>0</v>
      </c>
      <c r="D6" s="8">
        <v>0</v>
      </c>
      <c r="E6" s="8">
        <v>1</v>
      </c>
      <c r="F6" s="8">
        <v>1</v>
      </c>
      <c r="G6" s="8">
        <v>0</v>
      </c>
      <c r="H6" s="8">
        <v>0</v>
      </c>
      <c r="I6" s="11">
        <v>0</v>
      </c>
      <c r="J6" s="9" t="e">
        <f t="shared" si="0"/>
        <v>#DIV/0!</v>
      </c>
      <c r="K6" s="11">
        <v>1.2E-2</v>
      </c>
    </row>
    <row r="7" spans="1:11" x14ac:dyDescent="0.3">
      <c r="A7" s="8">
        <v>2</v>
      </c>
      <c r="B7" s="8">
        <v>59.963000000000001</v>
      </c>
      <c r="C7" s="8">
        <v>2.0939999999999999</v>
      </c>
      <c r="D7" s="8">
        <v>-3.49E-2</v>
      </c>
      <c r="E7" s="8">
        <v>0.99939999999999996</v>
      </c>
      <c r="F7" s="8">
        <v>0.99939999999999996</v>
      </c>
      <c r="G7" s="8">
        <v>3.49E-2</v>
      </c>
      <c r="H7" s="8">
        <v>0.121</v>
      </c>
      <c r="I7" s="11">
        <v>9.7000000000000003E-2</v>
      </c>
      <c r="J7" s="9">
        <f t="shared" si="0"/>
        <v>-0.19834710743801648</v>
      </c>
      <c r="K7" s="11">
        <v>1.2999999999999999E-2</v>
      </c>
    </row>
    <row r="8" spans="1:11" x14ac:dyDescent="0.3">
      <c r="A8" s="8">
        <v>5</v>
      </c>
      <c r="B8" s="8">
        <v>59.771999999999998</v>
      </c>
      <c r="C8" s="8">
        <v>5.234</v>
      </c>
      <c r="D8" s="8">
        <v>-8.72E-2</v>
      </c>
      <c r="E8" s="8">
        <v>0.99619999999999997</v>
      </c>
      <c r="F8" s="8">
        <v>0.99619999999999997</v>
      </c>
      <c r="G8" s="8">
        <v>8.72E-2</v>
      </c>
      <c r="H8" s="8">
        <v>0.30299999999999999</v>
      </c>
      <c r="I8" s="11">
        <v>0.25</v>
      </c>
      <c r="J8" s="9">
        <f t="shared" si="0"/>
        <v>-0.1749174917491749</v>
      </c>
      <c r="K8" s="11">
        <v>2.1999999999999999E-2</v>
      </c>
    </row>
    <row r="9" spans="1:11" x14ac:dyDescent="0.3">
      <c r="A9" s="8">
        <v>8</v>
      </c>
      <c r="B9" s="8">
        <v>59.414999999999999</v>
      </c>
      <c r="C9" s="8">
        <v>8.3480000000000008</v>
      </c>
      <c r="D9" s="8">
        <v>-0.13919999999999999</v>
      </c>
      <c r="E9" s="8">
        <v>0.99029999999999996</v>
      </c>
      <c r="F9" s="8">
        <v>0.99029999999999996</v>
      </c>
      <c r="G9" s="8">
        <v>0.13919999999999999</v>
      </c>
      <c r="H9" s="8">
        <v>0.48399999999999999</v>
      </c>
      <c r="I9" s="8">
        <v>0.39400000000000002</v>
      </c>
      <c r="J9" s="9">
        <f t="shared" si="0"/>
        <v>-0.18595041322314043</v>
      </c>
      <c r="K9" s="10">
        <v>3.6999999999999998E-2</v>
      </c>
    </row>
    <row r="10" spans="1:11" x14ac:dyDescent="0.3">
      <c r="A10" s="8">
        <v>10</v>
      </c>
      <c r="B10" s="8">
        <v>59.088000000000001</v>
      </c>
      <c r="C10" s="8">
        <v>10.419</v>
      </c>
      <c r="D10" s="8">
        <v>-0.1736</v>
      </c>
      <c r="E10" s="8">
        <v>0.98480000000000001</v>
      </c>
      <c r="F10" s="8">
        <v>0.98480000000000001</v>
      </c>
      <c r="G10" s="8">
        <v>0.1736</v>
      </c>
      <c r="H10" s="8">
        <v>0.60499999999999998</v>
      </c>
      <c r="I10" s="12">
        <v>0.51</v>
      </c>
      <c r="J10" s="13">
        <f t="shared" si="0"/>
        <v>-0.1570247933884297</v>
      </c>
      <c r="K10" s="11">
        <v>0.05</v>
      </c>
    </row>
    <row r="11" spans="1:11" x14ac:dyDescent="0.3">
      <c r="A11" s="8">
        <v>12</v>
      </c>
      <c r="B11" s="8">
        <v>58.689</v>
      </c>
      <c r="C11" s="8">
        <v>12.47</v>
      </c>
      <c r="D11" s="8">
        <v>-0.2079</v>
      </c>
      <c r="E11" s="8">
        <v>0.97809999999999997</v>
      </c>
      <c r="F11" s="8">
        <v>0.97809999999999997</v>
      </c>
      <c r="G11" s="8">
        <v>0.2079</v>
      </c>
      <c r="H11" s="8">
        <v>0.72599999999999998</v>
      </c>
      <c r="I11" s="11">
        <v>0.59699999999999998</v>
      </c>
      <c r="J11" s="13">
        <f t="shared" si="0"/>
        <v>-0.17768595041322316</v>
      </c>
      <c r="K11" s="11">
        <v>6.7000000000000004E-2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zoomScaleNormal="100" workbookViewId="0">
      <selection activeCell="F20" sqref="F20"/>
    </sheetView>
  </sheetViews>
  <sheetFormatPr defaultColWidth="8.6640625" defaultRowHeight="14.4" x14ac:dyDescent="0.3"/>
  <cols>
    <col min="1" max="7" width="10" customWidth="1"/>
    <col min="8" max="9" width="11" customWidth="1"/>
    <col min="10" max="10" width="10" customWidth="1"/>
    <col min="11" max="11" width="11" customWidth="1"/>
  </cols>
  <sheetData>
    <row r="1" spans="1:11" ht="24" customHeight="1" x14ac:dyDescent="0.3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x14ac:dyDescent="0.3">
      <c r="A4" s="4">
        <v>-4</v>
      </c>
      <c r="B4" s="4">
        <v>59.853999999999999</v>
      </c>
      <c r="C4" s="4">
        <v>-4.1870000000000003</v>
      </c>
      <c r="D4" s="4">
        <v>6.9800000000000001E-2</v>
      </c>
      <c r="E4" s="4">
        <v>0.99760000000000004</v>
      </c>
      <c r="F4" s="4">
        <v>0.99760000000000004</v>
      </c>
      <c r="G4" s="4">
        <v>-6.9800000000000001E-2</v>
      </c>
      <c r="H4" s="4">
        <v>-5.8000000000000003E-2</v>
      </c>
      <c r="I4" s="7">
        <v>-0.10299999999999999</v>
      </c>
      <c r="J4" s="5">
        <f t="shared" ref="J4:J11" si="0">IF(I4="","",(I4-H4)/H4)</f>
        <v>0.77586206896551702</v>
      </c>
      <c r="K4" s="7">
        <v>1.6E-2</v>
      </c>
    </row>
    <row r="5" spans="1:11" x14ac:dyDescent="0.3">
      <c r="A5" s="4">
        <v>-2</v>
      </c>
      <c r="B5" s="4">
        <v>59.963000000000001</v>
      </c>
      <c r="C5" s="4">
        <v>-2.0939999999999999</v>
      </c>
      <c r="D5" s="4">
        <v>3.49E-2</v>
      </c>
      <c r="E5" s="4">
        <v>0.99939999999999996</v>
      </c>
      <c r="F5" s="4">
        <v>0.99939999999999996</v>
      </c>
      <c r="G5" s="4">
        <v>-3.49E-2</v>
      </c>
      <c r="H5" s="4">
        <v>0.02</v>
      </c>
      <c r="I5" s="7">
        <v>0</v>
      </c>
      <c r="J5" s="5">
        <f t="shared" si="0"/>
        <v>-1</v>
      </c>
      <c r="K5" s="7">
        <v>1.4E-2</v>
      </c>
    </row>
    <row r="6" spans="1:11" x14ac:dyDescent="0.3">
      <c r="A6" s="4">
        <v>0</v>
      </c>
      <c r="B6" s="4">
        <v>60</v>
      </c>
      <c r="C6" s="4">
        <v>0</v>
      </c>
      <c r="D6" s="4">
        <v>0</v>
      </c>
      <c r="E6" s="4">
        <v>1</v>
      </c>
      <c r="F6" s="4">
        <v>1</v>
      </c>
      <c r="G6" s="4">
        <v>0</v>
      </c>
      <c r="H6" s="4">
        <v>0.13400000000000001</v>
      </c>
      <c r="I6" s="7">
        <v>0.105</v>
      </c>
      <c r="J6" s="5">
        <f t="shared" si="0"/>
        <v>-0.21641791044776126</v>
      </c>
      <c r="K6" s="7">
        <v>1.4E-2</v>
      </c>
    </row>
    <row r="7" spans="1:11" x14ac:dyDescent="0.3">
      <c r="A7" s="4">
        <v>2</v>
      </c>
      <c r="B7" s="4">
        <v>59.963000000000001</v>
      </c>
      <c r="C7" s="4">
        <v>2.0939999999999999</v>
      </c>
      <c r="D7" s="4">
        <v>-3.49E-2</v>
      </c>
      <c r="E7" s="4">
        <v>0.99939999999999996</v>
      </c>
      <c r="F7" s="4">
        <v>0.99939999999999996</v>
      </c>
      <c r="G7" s="4">
        <v>3.49E-2</v>
      </c>
      <c r="H7" s="4">
        <v>0.248</v>
      </c>
      <c r="I7" s="7">
        <v>0.221</v>
      </c>
      <c r="J7" s="5">
        <f t="shared" si="0"/>
        <v>-0.10887096774193547</v>
      </c>
      <c r="K7" s="7">
        <v>1.7999999999999999E-2</v>
      </c>
    </row>
    <row r="8" spans="1:11" x14ac:dyDescent="0.3">
      <c r="A8" s="4">
        <v>5</v>
      </c>
      <c r="B8" s="4">
        <v>59.771999999999998</v>
      </c>
      <c r="C8" s="4">
        <v>5.234</v>
      </c>
      <c r="D8" s="4">
        <v>-8.72E-2</v>
      </c>
      <c r="E8" s="4">
        <v>0.99619999999999997</v>
      </c>
      <c r="F8" s="4">
        <v>0.99619999999999997</v>
      </c>
      <c r="G8" s="4">
        <v>8.72E-2</v>
      </c>
      <c r="H8" s="4">
        <v>0.42</v>
      </c>
      <c r="I8" s="7">
        <v>0.56000000000000005</v>
      </c>
      <c r="J8" s="5">
        <f t="shared" si="0"/>
        <v>0.33333333333333354</v>
      </c>
      <c r="K8" s="7">
        <v>0.02</v>
      </c>
    </row>
    <row r="9" spans="1:11" x14ac:dyDescent="0.3">
      <c r="A9" s="4">
        <v>8</v>
      </c>
      <c r="B9" s="4">
        <v>59.414999999999999</v>
      </c>
      <c r="C9" s="4">
        <v>8.3480000000000008</v>
      </c>
      <c r="D9" s="4">
        <v>-0.13919999999999999</v>
      </c>
      <c r="E9" s="4">
        <v>0.99029999999999996</v>
      </c>
      <c r="F9" s="4">
        <v>0.99029999999999996</v>
      </c>
      <c r="G9" s="4">
        <v>0.13919999999999999</v>
      </c>
      <c r="H9" s="4">
        <v>0.59099999999999997</v>
      </c>
      <c r="I9" s="7">
        <v>0.51500000000000001</v>
      </c>
      <c r="J9" s="5">
        <f t="shared" si="0"/>
        <v>-0.12859560067681888</v>
      </c>
      <c r="K9" s="7">
        <v>4.9000000000000002E-2</v>
      </c>
    </row>
    <row r="10" spans="1:11" x14ac:dyDescent="0.3">
      <c r="A10" s="4">
        <v>10</v>
      </c>
      <c r="B10" s="4">
        <v>59.088000000000001</v>
      </c>
      <c r="C10" s="4">
        <v>10.419</v>
      </c>
      <c r="D10" s="4">
        <v>-0.1736</v>
      </c>
      <c r="E10" s="4">
        <v>0.98480000000000001</v>
      </c>
      <c r="F10" s="4">
        <v>0.98480000000000001</v>
      </c>
      <c r="G10" s="4">
        <v>0.1736</v>
      </c>
      <c r="H10" s="4">
        <v>0.70599999999999996</v>
      </c>
      <c r="I10" s="7">
        <v>0.6</v>
      </c>
      <c r="J10" s="5">
        <f t="shared" si="0"/>
        <v>-0.15014164305949007</v>
      </c>
      <c r="K10" s="7">
        <v>7.3999999999999996E-2</v>
      </c>
    </row>
    <row r="11" spans="1:11" x14ac:dyDescent="0.3">
      <c r="A11" s="4">
        <v>12</v>
      </c>
      <c r="B11" s="4">
        <v>58.689</v>
      </c>
      <c r="C11" s="4">
        <v>12.47</v>
      </c>
      <c r="D11" s="4">
        <v>-0.2079</v>
      </c>
      <c r="E11" s="4">
        <v>0.97809999999999997</v>
      </c>
      <c r="F11" s="4">
        <v>0.97809999999999997</v>
      </c>
      <c r="G11" s="4">
        <v>0.2079</v>
      </c>
      <c r="H11" s="4">
        <v>0.82</v>
      </c>
      <c r="I11" s="4">
        <v>0.72599999999999998</v>
      </c>
      <c r="J11" s="5">
        <f t="shared" si="0"/>
        <v>-0.11463414634146339</v>
      </c>
      <c r="K11" s="7">
        <v>8.5000000000000006E-2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Normal="100" workbookViewId="0">
      <selection activeCell="A10" sqref="A10:XFD10"/>
    </sheetView>
  </sheetViews>
  <sheetFormatPr defaultColWidth="8.6640625" defaultRowHeight="14.4" x14ac:dyDescent="0.3"/>
  <cols>
    <col min="1" max="1" width="12" customWidth="1"/>
    <col min="2" max="5" width="18" customWidth="1"/>
  </cols>
  <sheetData>
    <row r="1" spans="1:6" ht="17.399999999999999" x14ac:dyDescent="0.3">
      <c r="A1" s="1" t="s">
        <v>13</v>
      </c>
      <c r="B1" s="1"/>
      <c r="C1" s="1"/>
      <c r="D1" s="1"/>
      <c r="E1" s="1"/>
      <c r="F1" s="1"/>
    </row>
    <row r="2" spans="1:6" ht="17.399999999999999" x14ac:dyDescent="0.3">
      <c r="A2" s="2"/>
      <c r="B2" s="2"/>
      <c r="C2" s="2"/>
      <c r="D2" s="2"/>
      <c r="E2" s="2"/>
      <c r="F2" s="2"/>
    </row>
    <row r="4" spans="1:6" x14ac:dyDescent="0.3">
      <c r="A4" s="6" t="s">
        <v>1</v>
      </c>
      <c r="B4" s="6" t="s">
        <v>14</v>
      </c>
      <c r="C4" s="6" t="s">
        <v>15</v>
      </c>
      <c r="D4" s="6" t="s">
        <v>16</v>
      </c>
      <c r="E4" s="6" t="s">
        <v>17</v>
      </c>
    </row>
    <row r="5" spans="1:6" x14ac:dyDescent="0.3">
      <c r="A5" s="4">
        <f>'NACA 0012'!A4</f>
        <v>-4</v>
      </c>
      <c r="B5" s="4">
        <f>'NACA 0012'!I4</f>
        <v>-0.20599999999999999</v>
      </c>
      <c r="C5" s="4">
        <f>'NACA 0012'!H4</f>
        <v>-0.24199999999999999</v>
      </c>
      <c r="D5" s="4">
        <f>'NACA 2412'!I4</f>
        <v>-0.10299999999999999</v>
      </c>
      <c r="E5" s="4">
        <f>'NACA 2412'!H4</f>
        <v>-5.8000000000000003E-2</v>
      </c>
    </row>
    <row r="6" spans="1:6" x14ac:dyDescent="0.3">
      <c r="A6" s="4">
        <f>'NACA 0012'!A5</f>
        <v>-2</v>
      </c>
      <c r="B6" s="4">
        <f>'NACA 0012'!I5</f>
        <v>-0.1</v>
      </c>
      <c r="C6" s="4">
        <f>'NACA 0012'!H5</f>
        <v>-0.121</v>
      </c>
      <c r="D6" s="4">
        <f>'NACA 2412'!I5</f>
        <v>0</v>
      </c>
      <c r="E6" s="4">
        <f>'NACA 2412'!H5</f>
        <v>0.02</v>
      </c>
    </row>
    <row r="7" spans="1:6" x14ac:dyDescent="0.3">
      <c r="A7" s="4">
        <f>'NACA 0012'!A6</f>
        <v>0</v>
      </c>
      <c r="B7" s="4">
        <f>'NACA 0012'!I6</f>
        <v>0</v>
      </c>
      <c r="C7" s="4">
        <f>'NACA 0012'!H6</f>
        <v>0</v>
      </c>
      <c r="D7" s="4">
        <f>'NACA 2412'!I6</f>
        <v>0.105</v>
      </c>
      <c r="E7" s="4">
        <f>'NACA 2412'!H6</f>
        <v>0.13400000000000001</v>
      </c>
    </row>
    <row r="8" spans="1:6" x14ac:dyDescent="0.3">
      <c r="A8" s="4">
        <f>'NACA 0012'!A7</f>
        <v>2</v>
      </c>
      <c r="B8" s="4">
        <f>'NACA 0012'!I7</f>
        <v>9.7000000000000003E-2</v>
      </c>
      <c r="C8" s="4">
        <f>'NACA 0012'!H7</f>
        <v>0.121</v>
      </c>
      <c r="D8" s="4">
        <f>'NACA 2412'!I7</f>
        <v>0.221</v>
      </c>
      <c r="E8" s="4">
        <f>'NACA 2412'!H7</f>
        <v>0.248</v>
      </c>
    </row>
    <row r="9" spans="1:6" x14ac:dyDescent="0.3">
      <c r="A9" s="4">
        <f>'NACA 0012'!A8</f>
        <v>5</v>
      </c>
      <c r="B9" s="4">
        <f>'NACA 0012'!I8</f>
        <v>0.25</v>
      </c>
      <c r="C9" s="4">
        <f>'NACA 0012'!H8</f>
        <v>0.30299999999999999</v>
      </c>
      <c r="D9" s="4">
        <f>'NACA 2412'!I8</f>
        <v>0.56000000000000005</v>
      </c>
      <c r="E9" s="4">
        <f>'NACA 2412'!H8</f>
        <v>0.42</v>
      </c>
    </row>
    <row r="10" spans="1:6" x14ac:dyDescent="0.3">
      <c r="A10" s="4">
        <f>'NACA 0012'!A9</f>
        <v>8</v>
      </c>
      <c r="B10" s="4">
        <f>'NACA 0012'!I9</f>
        <v>0.39400000000000002</v>
      </c>
      <c r="C10" s="4">
        <f>'NACA 0012'!H9</f>
        <v>0.48399999999999999</v>
      </c>
      <c r="D10" s="4">
        <f>'NACA 2412'!I9</f>
        <v>0.51500000000000001</v>
      </c>
      <c r="E10" s="4">
        <f>'NACA 2412'!H9</f>
        <v>0.59099999999999997</v>
      </c>
    </row>
    <row r="11" spans="1:6" x14ac:dyDescent="0.3">
      <c r="A11" s="4">
        <f>'NACA 0012'!A10</f>
        <v>10</v>
      </c>
      <c r="B11" s="4">
        <f>'NACA 0012'!I10</f>
        <v>0.51</v>
      </c>
      <c r="C11" s="4">
        <f>'NACA 0012'!H10</f>
        <v>0.60499999999999998</v>
      </c>
      <c r="D11" s="4">
        <f>'NACA 2412'!I10</f>
        <v>0.6</v>
      </c>
      <c r="E11" s="4">
        <f>'NACA 2412'!H10</f>
        <v>0.70599999999999996</v>
      </c>
    </row>
    <row r="12" spans="1:6" x14ac:dyDescent="0.3">
      <c r="A12" s="4">
        <f>'NACA 0012'!A11</f>
        <v>12</v>
      </c>
      <c r="B12" s="4">
        <f>'NACA 0012'!I11</f>
        <v>0.59699999999999998</v>
      </c>
      <c r="C12" s="4">
        <f>'NACA 0012'!H11</f>
        <v>0.72599999999999998</v>
      </c>
      <c r="D12" s="4">
        <f>'NACA 2412'!I11</f>
        <v>0.72599999999999998</v>
      </c>
      <c r="E12" s="4">
        <f>'NACA 2412'!H11</f>
        <v>0.82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NACA 0012</vt:lpstr>
      <vt:lpstr>NACA 2412</vt:lpstr>
      <vt:lpstr>Summary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Tanish Naik Parsekar</cp:lastModifiedBy>
  <cp:revision>1</cp:revision>
  <dcterms:created xsi:type="dcterms:W3CDTF">2026-07-24T11:56:56Z</dcterms:created>
  <dcterms:modified xsi:type="dcterms:W3CDTF">2026-07-24T19:31:43Z</dcterms:modified>
  <dc:language>en-US</dc:language>
</cp:coreProperties>
</file>